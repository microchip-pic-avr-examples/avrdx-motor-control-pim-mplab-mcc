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51755\Documents\WORK\PIM_bugfixes\avr128da48-mclv2-pim-motor-control-mcc\"/>
    </mc:Choice>
  </mc:AlternateContent>
  <xr:revisionPtr revIDLastSave="0" documentId="13_ncr:1_{C431C61D-A774-42AF-8AC9-FF129AB41D1F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Safe Values" sheetId="4" r:id="rId1"/>
    <sheet name="HDD Motor" sheetId="5" r:id="rId2"/>
    <sheet name="2200KV Drone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7" i="1" l="1"/>
  <c r="D54" i="5"/>
  <c r="C54" i="5" s="1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A29" i="5"/>
  <c r="B28" i="5"/>
  <c r="B29" i="5" s="1"/>
  <c r="A28" i="5"/>
  <c r="D54" i="4" l="1"/>
  <c r="C54" i="4" s="1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A29" i="4"/>
  <c r="B28" i="4"/>
  <c r="B29" i="4" s="1"/>
  <c r="A28" i="4"/>
  <c r="D54" i="1" l="1"/>
  <c r="C54" i="1" s="1"/>
  <c r="B46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B30" i="1"/>
  <c r="B40" i="1"/>
  <c r="B39" i="1"/>
  <c r="B45" i="1"/>
  <c r="B44" i="1"/>
  <c r="B43" i="1"/>
  <c r="B42" i="1"/>
  <c r="B41" i="1"/>
  <c r="B38" i="1"/>
  <c r="B37" i="1"/>
  <c r="B34" i="1" l="1"/>
  <c r="B32" i="1"/>
  <c r="B31" i="1"/>
  <c r="B35" i="1"/>
  <c r="B36" i="1"/>
  <c r="B33" i="1"/>
  <c r="B28" i="1"/>
  <c r="B29" i="1" s="1"/>
</calcChain>
</file>

<file path=xl/sharedStrings.xml><?xml version="1.0" encoding="utf-8"?>
<sst xmlns="http://schemas.openxmlformats.org/spreadsheetml/2006/main" count="248" uniqueCount="81">
  <si>
    <t>Value</t>
  </si>
  <si>
    <t>Parameter</t>
  </si>
  <si>
    <t>F_CPU[HZ]</t>
  </si>
  <si>
    <t>OPEN LOOP TIMER PRESCALER</t>
  </si>
  <si>
    <t>Description</t>
  </si>
  <si>
    <t>CPU operating frequency</t>
  </si>
  <si>
    <t>Timer prescaler used in computations below</t>
  </si>
  <si>
    <t>Target RPM [RPM]</t>
  </si>
  <si>
    <t>Initial startup period  [ms]</t>
  </si>
  <si>
    <t>Rotor align time [ms]</t>
  </si>
  <si>
    <t>Startup PWM Duty [%]</t>
  </si>
  <si>
    <t>Ramp duration [ms]</t>
  </si>
  <si>
    <t>Ramp sustain duration [ms]</t>
  </si>
  <si>
    <t>Motor pole pairs</t>
  </si>
  <si>
    <t>Minimum PWM duty [%]</t>
  </si>
  <si>
    <t>The number of motor pole pairs</t>
  </si>
  <si>
    <t>Time in which the motor is kept at a constant speed after acceleration</t>
  </si>
  <si>
    <t>Total ramp time without sustain</t>
  </si>
  <si>
    <t>From where to start the ramp. Never start from zero.</t>
  </si>
  <si>
    <t>Rotor align time in which the duty is raised to the startup PWM duty above</t>
  </si>
  <si>
    <t>Startup duty cycle in percents</t>
  </si>
  <si>
    <t>GENERATED VALUES</t>
  </si>
  <si>
    <t>Braking PWM duty [%]</t>
  </si>
  <si>
    <t>Maximum PWM duty[%]</t>
  </si>
  <si>
    <t>Motoring current limit[mA]</t>
  </si>
  <si>
    <t>Braking current limit[mA]</t>
  </si>
  <si>
    <t>Advance angle[Deg]</t>
  </si>
  <si>
    <t>Range</t>
  </si>
  <si>
    <t>1-1000</t>
  </si>
  <si>
    <t>Holdoff steps</t>
  </si>
  <si>
    <t>1-250</t>
  </si>
  <si>
    <t>How many trapezoidal steps have the PWM disabled, after the sustain zone</t>
  </si>
  <si>
    <t>Minimum PWM duty value in percents - Indirectly limits the maximum speed</t>
  </si>
  <si>
    <t>Minimum PWM duty value in percents - Indirectly limits the minimum speed</t>
  </si>
  <si>
    <t>PWM duty cycle for the non-regenerative braking</t>
  </si>
  <si>
    <t>Maximum current allowed to draw from the supply. Triggers a fault condition</t>
  </si>
  <si>
    <t>Maximum current allowed to push to the supply. Triggers a fault condition</t>
  </si>
  <si>
    <t>Maximum supply voltage. Triggers a fault condition</t>
  </si>
  <si>
    <t>Minimum supply voltage. Triggers a fault condition</t>
  </si>
  <si>
    <t>Advance angle for the next sector timing</t>
  </si>
  <si>
    <t>Higher values eliminates glitches but has slower response. Set as power of 2</t>
  </si>
  <si>
    <t>Moving average filter division factor</t>
  </si>
  <si>
    <t>Passthrough delay compensation[us]</t>
  </si>
  <si>
    <t>Fixed compensation time for any hardware or software delays</t>
  </si>
  <si>
    <t>CLOSED LOOP TIMER PRESCALER</t>
  </si>
  <si>
    <t>0 - 100</t>
  </si>
  <si>
    <t>1 - 100</t>
  </si>
  <si>
    <t>1 - 14000</t>
  </si>
  <si>
    <t>1 - 1000</t>
  </si>
  <si>
    <t>1 - 128</t>
  </si>
  <si>
    <t>0 - 30</t>
  </si>
  <si>
    <t>1 - 255</t>
  </si>
  <si>
    <t>100 - 5000</t>
  </si>
  <si>
    <t>1 - 5000</t>
  </si>
  <si>
    <t>Delta division factor</t>
  </si>
  <si>
    <t>Code space padding</t>
  </si>
  <si>
    <t>If red, the closed loop timer prescaler needs adjusting</t>
  </si>
  <si>
    <t>Minimum RPM tolerance[%]</t>
  </si>
  <si>
    <t>Board parameter</t>
  </si>
  <si>
    <t>Requested</t>
  </si>
  <si>
    <t>Actual</t>
  </si>
  <si>
    <t>Deadtime[ns]</t>
  </si>
  <si>
    <t>Generated value</t>
  </si>
  <si>
    <t>NOTE: Change the TCD_DEADTIME define value with the generated value in
 board_params.h</t>
  </si>
  <si>
    <t>Miscellaneous parameters used in this excel file</t>
  </si>
  <si>
    <t>Copies formatted code into clipboard
NOTE: Delete old values in the motor_control_params.h file</t>
  </si>
  <si>
    <t>Directly patches the motor control params file</t>
  </si>
  <si>
    <t>Undervoltage protection[mV]</t>
  </si>
  <si>
    <t>Overvoltage protection[mV]</t>
  </si>
  <si>
    <t>11000-48000</t>
  </si>
  <si>
    <t>Notes for config</t>
  </si>
  <si>
    <t>0-100</t>
  </si>
  <si>
    <t>Final RPM after startup. This becomes the minimum RPM(also see tolerance below)</t>
  </si>
  <si>
    <t>Maximum variation of the current zero cross time expressed as (previous time/factor)</t>
  </si>
  <si>
    <t>NOTES FOR CONFIGURATION</t>
  </si>
  <si>
    <t>This drone motor draws a lot of current and you can run a similar motor at your own risk!
You have to disable the overcurrent protection within the code initialization part
Supply voltage: 12V</t>
  </si>
  <si>
    <t>Minimum RPM for closed loop mode. Subtracts this percentage from the startup RPM</t>
  </si>
  <si>
    <t xml:space="preserve">General purpose configuration.
Stall detection features are left to a minimum(Zero cross delta inactive and minimum rotor speed is decreased by 40% to achieve correct startup). May fail to detect stall immediately after ramp-up. If that's the case, increase the delta division factor to 2. </t>
  </si>
  <si>
    <t>0-8(disabled for 0)</t>
  </si>
  <si>
    <t>0 - 4300</t>
  </si>
  <si>
    <t>-4300 - 0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</si>
</sst>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/>
    <xf numFmtId="0" fontId="4" fillId="3" borderId="0" xfId="0" applyFont="1" applyFill="1" applyAlignment="1">
      <alignment horizontal="left" vertical="center"/>
    </xf>
    <xf numFmtId="0" fontId="0" fillId="3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/>
    <xf numFmtId="0" fontId="0" fillId="4" borderId="2" xfId="0" applyFill="1" applyBorder="1"/>
    <xf numFmtId="0" fontId="0" fillId="0" borderId="0" xfId="0" applyBorder="1" applyAlignment="1" applyProtection="1">
      <alignment horizontal="left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1" fillId="0" borderId="4" xfId="0" applyFont="1" applyBorder="1" applyAlignment="1" applyProtection="1">
      <alignment horizontal="left"/>
    </xf>
    <xf numFmtId="0" fontId="1" fillId="0" borderId="4" xfId="0" applyFont="1" applyBorder="1" applyAlignment="1" applyProtection="1">
      <alignment horizontal="left" wrapText="1"/>
    </xf>
    <xf numFmtId="0" fontId="2" fillId="2" borderId="6" xfId="0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Border="1"/>
    <xf numFmtId="0" fontId="0" fillId="4" borderId="8" xfId="0" applyFill="1" applyBorder="1"/>
    <xf numFmtId="0" fontId="0" fillId="4" borderId="9" xfId="0" applyFill="1" applyBorder="1"/>
    <xf numFmtId="0" fontId="4" fillId="3" borderId="8" xfId="0" applyFont="1" applyFill="1" applyBorder="1"/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49" fontId="0" fillId="0" borderId="0" xfId="0" applyNumberFormat="1"/>
    <xf numFmtId="0" fontId="1" fillId="0" borderId="0" xfId="0" applyFont="1" applyBorder="1" applyAlignment="1">
      <alignment horizontal="center"/>
    </xf>
    <xf numFmtId="0" fontId="0" fillId="0" borderId="0" xfId="0" applyBorder="1"/>
    <xf numFmtId="0" fontId="5" fillId="5" borderId="11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left" vertical="center"/>
    </xf>
    <xf numFmtId="0" fontId="6" fillId="5" borderId="11" xfId="0" applyFont="1" applyFill="1" applyBorder="1"/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left" vertical="center" wrapText="1"/>
    </xf>
    <xf numFmtId="0" fontId="0" fillId="0" borderId="7" xfId="0" applyBorder="1" applyAlignment="1">
      <alignment horizontal="left" vertical="center"/>
    </xf>
    <xf numFmtId="0" fontId="0" fillId="0" borderId="4" xfId="0" applyBorder="1"/>
    <xf numFmtId="0" fontId="0" fillId="4" borderId="9" xfId="0" applyFill="1" applyBorder="1" applyAlignment="1">
      <alignment horizontal="left" vertical="center"/>
    </xf>
    <xf numFmtId="49" fontId="0" fillId="0" borderId="2" xfId="0" applyNumberFormat="1" applyBorder="1"/>
    <xf numFmtId="0" fontId="0" fillId="0" borderId="5" xfId="0" applyBorder="1"/>
    <xf numFmtId="0" fontId="0" fillId="4" borderId="7" xfId="0" applyFill="1" applyBorder="1" applyAlignment="1">
      <alignment horizontal="left" vertical="center"/>
    </xf>
    <xf numFmtId="0" fontId="1" fillId="0" borderId="10" xfId="0" applyFont="1" applyBorder="1" applyAlignment="1">
      <alignment horizontal="center"/>
    </xf>
    <xf numFmtId="0" fontId="0" fillId="0" borderId="10" xfId="0" applyBorder="1" applyAlignment="1">
      <alignment horizontal="left" vertical="center"/>
    </xf>
    <xf numFmtId="0" fontId="0" fillId="0" borderId="10" xfId="0" applyBorder="1"/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left" vertical="center" wrapText="1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2" xfId="0" applyBorder="1" applyAlignment="1">
      <alignment horizontal="center" vertical="top" wrapText="1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0</xdr:rowOff>
        </xdr:from>
        <xdr:to>
          <xdr:col>2</xdr:col>
          <xdr:colOff>0</xdr:colOff>
          <xdr:row>48</xdr:row>
          <xdr:rowOff>180975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180975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0</xdr:rowOff>
        </xdr:from>
        <xdr:to>
          <xdr:col>2</xdr:col>
          <xdr:colOff>0</xdr:colOff>
          <xdr:row>48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180975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0</xdr:rowOff>
        </xdr:from>
        <xdr:to>
          <xdr:col>2</xdr:col>
          <xdr:colOff>0</xdr:colOff>
          <xdr:row>48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180975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7EAD2-43D1-409F-838F-16CC2B03999B}">
  <sheetPr codeName="Sheet2"/>
  <dimension ref="A1:E58"/>
  <sheetViews>
    <sheetView tabSelected="1" zoomScaleNormal="100" workbookViewId="0">
      <selection activeCell="B2" sqref="B2"/>
    </sheetView>
  </sheetViews>
  <sheetFormatPr defaultRowHeight="15" x14ac:dyDescent="0.25"/>
  <cols>
    <col min="1" max="1" width="45.28515625" style="2" customWidth="1"/>
    <col min="2" max="2" width="18.42578125" style="1" customWidth="1"/>
    <col min="3" max="3" width="76.140625" customWidth="1"/>
    <col min="4" max="4" width="16.42578125" customWidth="1"/>
    <col min="5" max="5" width="28.42578125" customWidth="1"/>
  </cols>
  <sheetData>
    <row r="1" spans="1:5" s="3" customFormat="1" x14ac:dyDescent="0.25">
      <c r="A1" s="3" t="s">
        <v>1</v>
      </c>
      <c r="B1" s="3" t="s">
        <v>0</v>
      </c>
      <c r="C1" s="3" t="s">
        <v>4</v>
      </c>
      <c r="D1" s="21" t="s">
        <v>27</v>
      </c>
      <c r="E1" s="3" t="s">
        <v>70</v>
      </c>
    </row>
    <row r="2" spans="1:5" x14ac:dyDescent="0.25">
      <c r="A2" s="12" t="s">
        <v>10</v>
      </c>
      <c r="B2" s="1">
        <v>25</v>
      </c>
      <c r="C2" s="22" t="s">
        <v>20</v>
      </c>
      <c r="D2" s="34" t="s">
        <v>46</v>
      </c>
      <c r="E2" s="53" t="s">
        <v>77</v>
      </c>
    </row>
    <row r="3" spans="1:5" x14ac:dyDescent="0.25">
      <c r="A3" s="13" t="s">
        <v>9</v>
      </c>
      <c r="B3" s="1">
        <v>250</v>
      </c>
      <c r="C3" s="23" t="s">
        <v>19</v>
      </c>
      <c r="D3" s="34" t="s">
        <v>47</v>
      </c>
      <c r="E3" s="54"/>
    </row>
    <row r="4" spans="1:5" x14ac:dyDescent="0.25">
      <c r="A4" s="13" t="s">
        <v>7</v>
      </c>
      <c r="B4" s="1">
        <v>800</v>
      </c>
      <c r="C4" s="23" t="s">
        <v>72</v>
      </c>
      <c r="D4" s="34"/>
      <c r="E4" s="54"/>
    </row>
    <row r="5" spans="1:5" x14ac:dyDescent="0.25">
      <c r="A5" s="14" t="s">
        <v>8</v>
      </c>
      <c r="B5" s="1">
        <v>300</v>
      </c>
      <c r="C5" s="23" t="s">
        <v>18</v>
      </c>
      <c r="D5" s="34" t="s">
        <v>48</v>
      </c>
      <c r="E5" s="54"/>
    </row>
    <row r="6" spans="1:5" x14ac:dyDescent="0.25">
      <c r="A6" s="13" t="s">
        <v>11</v>
      </c>
      <c r="B6" s="1">
        <v>2000</v>
      </c>
      <c r="C6" s="23" t="s">
        <v>17</v>
      </c>
      <c r="D6" s="34" t="s">
        <v>52</v>
      </c>
      <c r="E6" s="54"/>
    </row>
    <row r="7" spans="1:5" x14ac:dyDescent="0.25">
      <c r="A7" s="13" t="s">
        <v>12</v>
      </c>
      <c r="B7" s="1">
        <v>1</v>
      </c>
      <c r="C7" s="23" t="s">
        <v>16</v>
      </c>
      <c r="D7" s="34" t="s">
        <v>53</v>
      </c>
      <c r="E7" s="54"/>
    </row>
    <row r="8" spans="1:5" x14ac:dyDescent="0.25">
      <c r="A8" s="13" t="s">
        <v>29</v>
      </c>
      <c r="B8" s="1">
        <v>1</v>
      </c>
      <c r="C8" s="23" t="s">
        <v>31</v>
      </c>
      <c r="D8" s="34" t="s">
        <v>30</v>
      </c>
      <c r="E8" s="54"/>
    </row>
    <row r="9" spans="1:5" x14ac:dyDescent="0.25">
      <c r="A9" s="13" t="s">
        <v>13</v>
      </c>
      <c r="B9" s="1">
        <v>4</v>
      </c>
      <c r="C9" s="24" t="s">
        <v>15</v>
      </c>
      <c r="D9" s="34" t="s">
        <v>51</v>
      </c>
      <c r="E9" s="54"/>
    </row>
    <row r="10" spans="1:5" x14ac:dyDescent="0.25">
      <c r="A10" s="13" t="s">
        <v>14</v>
      </c>
      <c r="B10" s="1">
        <v>20</v>
      </c>
      <c r="C10" s="23" t="s">
        <v>33</v>
      </c>
      <c r="D10" s="34" t="s">
        <v>45</v>
      </c>
      <c r="E10" s="54"/>
    </row>
    <row r="11" spans="1:5" x14ac:dyDescent="0.25">
      <c r="A11" s="13" t="s">
        <v>23</v>
      </c>
      <c r="B11" s="1">
        <v>100</v>
      </c>
      <c r="C11" s="23" t="s">
        <v>32</v>
      </c>
      <c r="D11" s="34" t="s">
        <v>45</v>
      </c>
      <c r="E11" s="54"/>
    </row>
    <row r="12" spans="1:5" x14ac:dyDescent="0.25">
      <c r="A12" s="13" t="s">
        <v>22</v>
      </c>
      <c r="B12" s="1">
        <v>90</v>
      </c>
      <c r="C12" s="23" t="s">
        <v>34</v>
      </c>
      <c r="D12" s="34" t="s">
        <v>45</v>
      </c>
      <c r="E12" s="54"/>
    </row>
    <row r="13" spans="1:5" x14ac:dyDescent="0.25">
      <c r="A13" s="13" t="s">
        <v>24</v>
      </c>
      <c r="B13" s="1">
        <v>4300</v>
      </c>
      <c r="C13" s="23" t="s">
        <v>35</v>
      </c>
      <c r="D13" s="34" t="s">
        <v>79</v>
      </c>
      <c r="E13" s="54"/>
    </row>
    <row r="14" spans="1:5" x14ac:dyDescent="0.25">
      <c r="A14" s="2" t="s">
        <v>25</v>
      </c>
      <c r="B14" s="31">
        <v>-4300</v>
      </c>
      <c r="C14" s="23" t="s">
        <v>36</v>
      </c>
      <c r="D14" s="34" t="s">
        <v>80</v>
      </c>
      <c r="E14" s="54"/>
    </row>
    <row r="15" spans="1:5" x14ac:dyDescent="0.25">
      <c r="A15" s="2" t="s">
        <v>67</v>
      </c>
      <c r="B15" s="31">
        <v>11000</v>
      </c>
      <c r="C15" s="23" t="s">
        <v>37</v>
      </c>
      <c r="D15" s="34" t="s">
        <v>69</v>
      </c>
      <c r="E15" s="54"/>
    </row>
    <row r="16" spans="1:5" x14ac:dyDescent="0.25">
      <c r="A16" s="2" t="s">
        <v>68</v>
      </c>
      <c r="B16" s="31">
        <v>25000</v>
      </c>
      <c r="C16" s="23" t="s">
        <v>38</v>
      </c>
      <c r="D16" s="34" t="s">
        <v>69</v>
      </c>
      <c r="E16" s="54"/>
    </row>
    <row r="17" spans="1:5" x14ac:dyDescent="0.25">
      <c r="A17" s="2" t="s">
        <v>41</v>
      </c>
      <c r="B17" s="31">
        <v>8</v>
      </c>
      <c r="C17" s="23" t="s">
        <v>40</v>
      </c>
      <c r="D17" s="34" t="s">
        <v>49</v>
      </c>
      <c r="E17" s="54"/>
    </row>
    <row r="18" spans="1:5" x14ac:dyDescent="0.25">
      <c r="A18" s="2" t="s">
        <v>26</v>
      </c>
      <c r="B18" s="31">
        <v>0</v>
      </c>
      <c r="C18" s="23" t="s">
        <v>39</v>
      </c>
      <c r="D18" s="34" t="s">
        <v>50</v>
      </c>
      <c r="E18" s="54"/>
    </row>
    <row r="19" spans="1:5" x14ac:dyDescent="0.25">
      <c r="A19" s="2" t="s">
        <v>42</v>
      </c>
      <c r="B19" s="31">
        <v>200</v>
      </c>
      <c r="C19" s="23" t="s">
        <v>43</v>
      </c>
      <c r="D19" s="34" t="s">
        <v>28</v>
      </c>
      <c r="E19" s="54"/>
    </row>
    <row r="20" spans="1:5" x14ac:dyDescent="0.25">
      <c r="A20" s="2" t="s">
        <v>54</v>
      </c>
      <c r="B20" s="31">
        <v>1</v>
      </c>
      <c r="C20" s="23" t="s">
        <v>73</v>
      </c>
      <c r="D20" s="34" t="s">
        <v>78</v>
      </c>
      <c r="E20" s="54"/>
    </row>
    <row r="21" spans="1:5" s="5" customFormat="1" x14ac:dyDescent="0.25">
      <c r="A21" s="40" t="s">
        <v>57</v>
      </c>
      <c r="B21" s="32">
        <v>40</v>
      </c>
      <c r="C21" s="25" t="s">
        <v>76</v>
      </c>
      <c r="D21" s="45" t="s">
        <v>71</v>
      </c>
      <c r="E21" s="55"/>
    </row>
    <row r="22" spans="1:5" s="5" customFormat="1" x14ac:dyDescent="0.25">
      <c r="A22" s="40"/>
      <c r="B22" s="33"/>
      <c r="C22" s="46"/>
    </row>
    <row r="23" spans="1:5" s="9" customFormat="1" x14ac:dyDescent="0.25">
      <c r="A23" s="16" t="s">
        <v>2</v>
      </c>
      <c r="B23" s="47">
        <v>24000000</v>
      </c>
      <c r="C23" s="26" t="s">
        <v>5</v>
      </c>
    </row>
    <row r="24" spans="1:5" s="9" customFormat="1" x14ac:dyDescent="0.25">
      <c r="A24" s="16" t="s">
        <v>44</v>
      </c>
      <c r="B24" s="8">
        <v>4</v>
      </c>
      <c r="C24" s="26" t="s">
        <v>6</v>
      </c>
    </row>
    <row r="25" spans="1:5" s="10" customFormat="1" x14ac:dyDescent="0.25">
      <c r="A25" s="17" t="s">
        <v>3</v>
      </c>
      <c r="B25" s="44">
        <v>256</v>
      </c>
      <c r="C25" s="27" t="s">
        <v>6</v>
      </c>
    </row>
    <row r="26" spans="1:5" x14ac:dyDescent="0.25">
      <c r="A26" s="35"/>
      <c r="B26" s="33"/>
      <c r="C26" s="43"/>
    </row>
    <row r="27" spans="1:5" s="7" customFormat="1" x14ac:dyDescent="0.25">
      <c r="A27" s="18" t="s">
        <v>21</v>
      </c>
      <c r="B27" s="6"/>
      <c r="C27" s="28"/>
    </row>
    <row r="28" spans="1:5" x14ac:dyDescent="0.25">
      <c r="A28" s="19" t="str">
        <f>LEFT("#define MOTOR_STARTUP_PWM_DUTY" &amp; REPT(" ",$B$58),$B$58)</f>
        <v xml:space="preserve">#define MOTOR_STARTUP_PWM_DUTY              </v>
      </c>
      <c r="B28" s="11">
        <f>ROUNDDOWN($B$2* 255/100, 0)</f>
        <v>63</v>
      </c>
      <c r="C28" s="23"/>
    </row>
    <row r="29" spans="1:5" x14ac:dyDescent="0.25">
      <c r="A29" s="19" t="str">
        <f>LEFT("#define MOTOR_ALIGN_STEP_DURATION" &amp; REPT(" ",$B$58),$B$58)</f>
        <v xml:space="preserve">#define MOTOR_ALIGN_STEP_DURATION           </v>
      </c>
      <c r="B29" s="11" t="str">
        <f xml:space="preserve"> ROUNDDOWN(($B$3/$B$28)*($B$23/($B$25*1000)-1), 0)&amp;"UL"</f>
        <v>368UL</v>
      </c>
      <c r="C29" s="23"/>
    </row>
    <row r="30" spans="1:5" x14ac:dyDescent="0.25">
      <c r="A30" s="19" t="str">
        <f>LEFT("#define MOTOR_STARTUP_TARGET_RPM" &amp; REPT(" ",$B$58),$B$58)</f>
        <v xml:space="preserve">#define MOTOR_STARTUP_TARGET_RPM            </v>
      </c>
      <c r="B30" s="11" t="str">
        <f>$B$4&amp;"UL"</f>
        <v>800UL</v>
      </c>
      <c r="C30" s="23"/>
    </row>
    <row r="31" spans="1:5" x14ac:dyDescent="0.25">
      <c r="A31" s="20" t="str">
        <f>LEFT("#define MOTOR_STARTUP_INITIAL_STEP_PERIOD" &amp; REPT(" ",$B$58),$B$58)</f>
        <v xml:space="preserve">#define MOTOR_STARTUP_INITIAL_STEP_PERIOD   </v>
      </c>
      <c r="B31" s="11" t="str">
        <f>$B$5&amp;"UL"</f>
        <v>300UL</v>
      </c>
      <c r="C31" s="23"/>
    </row>
    <row r="32" spans="1:5" x14ac:dyDescent="0.25">
      <c r="A32" s="19" t="str">
        <f>LEFT("#define MOTOR_STARTUP_RAMP_DURATION" &amp; REPT(" ",$B$58),$B$58)</f>
        <v xml:space="preserve">#define MOTOR_STARTUP_RAMP_DURATION         </v>
      </c>
      <c r="B32" s="11" t="str">
        <f>$B$6&amp;"UL"</f>
        <v>2000UL</v>
      </c>
      <c r="C32" s="23"/>
    </row>
    <row r="33" spans="1:3" x14ac:dyDescent="0.25">
      <c r="A33" s="19" t="str">
        <f>LEFT("#define MOTOR_STARTUP_SUSTAIN" &amp; REPT(" ",$B$58),$B$58)</f>
        <v xml:space="preserve">#define MOTOR_STARTUP_SUSTAIN               </v>
      </c>
      <c r="B33" s="11">
        <f>$B$7</f>
        <v>1</v>
      </c>
      <c r="C33" s="23"/>
    </row>
    <row r="34" spans="1:3" x14ac:dyDescent="0.25">
      <c r="A34" s="19" t="str">
        <f>LEFT("#define MOTOR_STARTUP_CONSTANT" &amp; REPT(" ",$B$58),$B$58)</f>
        <v xml:space="preserve">#define MOTOR_STARTUP_CONSTANT              </v>
      </c>
      <c r="B34" s="11" t="str">
        <f>ROUNDDOWN(1000000*($B6/($B4*$B9)),0)&amp;"UL"</f>
        <v>625000UL</v>
      </c>
      <c r="C34" s="23"/>
    </row>
    <row r="35" spans="1:3" x14ac:dyDescent="0.25">
      <c r="A35" s="19" t="str">
        <f>LEFT("#define MOTOR_POLE_PAIRS" &amp; REPT(" ",$B$58),$B$58)</f>
        <v xml:space="preserve">#define MOTOR_POLE_PAIRS                    </v>
      </c>
      <c r="B35" s="11">
        <f>$B$9</f>
        <v>4</v>
      </c>
      <c r="C35" s="23"/>
    </row>
    <row r="36" spans="1:3" x14ac:dyDescent="0.25">
      <c r="A36" s="19" t="str">
        <f>LEFT("#define MOTOR_MIN_PWM_DUTY" &amp; REPT(" ",$B$58),$B$58)</f>
        <v xml:space="preserve">#define MOTOR_MIN_PWM_DUTY                  </v>
      </c>
      <c r="B36" s="11">
        <f>ROUNDDOWN($B$10* 255/100, 0)</f>
        <v>51</v>
      </c>
      <c r="C36" s="23"/>
    </row>
    <row r="37" spans="1:3" x14ac:dyDescent="0.25">
      <c r="A37" s="19" t="str">
        <f>LEFT("#define MOTOR_MAX_PWM_DUTY" &amp; REPT(" ",$B$58),$B$58)</f>
        <v xml:space="preserve">#define MOTOR_MAX_PWM_DUTY                  </v>
      </c>
      <c r="B37" s="11">
        <f>ROUNDDOWN($B$11* 255/100, 0)</f>
        <v>255</v>
      </c>
      <c r="C37" s="23"/>
    </row>
    <row r="38" spans="1:3" x14ac:dyDescent="0.25">
      <c r="A38" s="19" t="str">
        <f>LEFT("#define MOTOR_BRAKE_DUTY" &amp; REPT(" ",$B$58),$B$58)</f>
        <v xml:space="preserve">#define MOTOR_BRAKE_DUTY                    </v>
      </c>
      <c r="B38" s="11">
        <f>ROUNDDOWN($B$12* 255/100, 0)</f>
        <v>229</v>
      </c>
      <c r="C38" s="23"/>
    </row>
    <row r="39" spans="1:3" x14ac:dyDescent="0.25">
      <c r="A39" s="19" t="str">
        <f>LEFT("#define MOTOR_CURRENT_UPPER_LIMIT" &amp; REPT(" ",$B$58),$B$58)</f>
        <v xml:space="preserve">#define MOTOR_CURRENT_UPPER_LIMIT           </v>
      </c>
      <c r="B39" s="11" t="str">
        <f>$B$13 &amp;"UL"</f>
        <v>4300UL</v>
      </c>
      <c r="C39" s="23"/>
    </row>
    <row r="40" spans="1:3" x14ac:dyDescent="0.25">
      <c r="A40" s="19" t="str">
        <f>LEFT("#define MOTOR_CURRENT_LOWER_LIMIT" &amp; REPT(" ",$B$58),$B$58)</f>
        <v xml:space="preserve">#define MOTOR_CURRENT_LOWER_LIMIT           </v>
      </c>
      <c r="B40" s="11" t="str">
        <f>$B$14&amp;"UL"</f>
        <v>-4300UL</v>
      </c>
      <c r="C40" s="23"/>
    </row>
    <row r="41" spans="1:3" x14ac:dyDescent="0.25">
      <c r="A41" s="19" t="str">
        <f>LEFT("#define SUPPLY_UVP" &amp; REPT(" ",$B$58),$B$58)</f>
        <v xml:space="preserve">#define SUPPLY_UVP                          </v>
      </c>
      <c r="B41" s="11">
        <f>B$15</f>
        <v>11000</v>
      </c>
      <c r="C41" s="23"/>
    </row>
    <row r="42" spans="1:3" x14ac:dyDescent="0.25">
      <c r="A42" s="19" t="str">
        <f>LEFT("#define SUPPLY_OVP" &amp; REPT(" ",$B$58),$B$58)</f>
        <v xml:space="preserve">#define SUPPLY_OVP                          </v>
      </c>
      <c r="B42" s="11">
        <f>B$16</f>
        <v>25000</v>
      </c>
      <c r="C42" s="23"/>
    </row>
    <row r="43" spans="1:3" x14ac:dyDescent="0.25">
      <c r="A43" s="19" t="str">
        <f>LEFT("#define MOTOR_DIVISION_FACTOR" &amp; REPT(" ",$B$58),$B$58)</f>
        <v xml:space="preserve">#define MOTOR_DIVISION_FACTOR               </v>
      </c>
      <c r="B43" s="11">
        <f>$B$17</f>
        <v>8</v>
      </c>
      <c r="C43" s="23"/>
    </row>
    <row r="44" spans="1:3" x14ac:dyDescent="0.25">
      <c r="A44" s="19" t="str">
        <f>LEFT("#define MOTOR_ADVANCE_ANGLE" &amp; REPT(" ",$B$58),$B$58)</f>
        <v xml:space="preserve">#define MOTOR_ADVANCE_ANGLE                 </v>
      </c>
      <c r="B44" s="11">
        <f>$B$18</f>
        <v>0</v>
      </c>
      <c r="C44" s="23"/>
    </row>
    <row r="45" spans="1:3" x14ac:dyDescent="0.25">
      <c r="A45" s="19" t="str">
        <f>LEFT("#define MOTOR_PASSTHROUGH_DELAY_COMP" &amp; REPT(" ",$B$58),$B$58)</f>
        <v xml:space="preserve">#define MOTOR_PASSTHROUGH_DELAY_COMP        </v>
      </c>
      <c r="B45" s="11" t="str">
        <f>ROUNDDOWN((($B$19/1000000)*($B$23/$B$24)), 0)&amp;"UL"</f>
        <v>1200UL</v>
      </c>
      <c r="C45" s="23"/>
    </row>
    <row r="46" spans="1:3" x14ac:dyDescent="0.25">
      <c r="A46" s="19" t="str">
        <f>LEFT("#define MOTOR_ZERO_CROSS_TIMEOUT_VALUE" &amp; REPT(" ",$B$58),$B$58)</f>
        <v xml:space="preserve">#define MOTOR_ZERO_CROSS_TIMEOUT_VALUE      </v>
      </c>
      <c r="B46" s="11">
        <f>ROUNDDOWN( ((1/($B$4/60*$B$9)/6)*($B$23/$B24)) + ((1/($B$4/60*$B$9)/6)*($B$23/$B24))*($B$21/100), 0)</f>
        <v>26250</v>
      </c>
      <c r="C46" s="23" t="s">
        <v>56</v>
      </c>
    </row>
    <row r="47" spans="1:3" x14ac:dyDescent="0.25">
      <c r="A47" s="19" t="str">
        <f>LEFT("#define MOTOR_COMMUTATION_TIME_DELTA" &amp; REPT(" ",$B$58),$B$58)</f>
        <v xml:space="preserve">#define MOTOR_COMMUTATION_TIME_DELTA        </v>
      </c>
      <c r="B47" s="11">
        <f>$B$20</f>
        <v>1</v>
      </c>
      <c r="C47" s="23"/>
    </row>
    <row r="48" spans="1:3" x14ac:dyDescent="0.25">
      <c r="A48" s="13"/>
      <c r="C48" s="56" t="s">
        <v>65</v>
      </c>
    </row>
    <row r="49" spans="1:4" x14ac:dyDescent="0.25">
      <c r="A49" s="13"/>
      <c r="C49" s="57"/>
    </row>
    <row r="50" spans="1:4" x14ac:dyDescent="0.25">
      <c r="A50" s="13"/>
      <c r="C50" s="57" t="s">
        <v>66</v>
      </c>
    </row>
    <row r="51" spans="1:4" s="5" customFormat="1" x14ac:dyDescent="0.25">
      <c r="A51" s="15"/>
      <c r="B51" s="4"/>
      <c r="C51" s="58"/>
    </row>
    <row r="52" spans="1:4" s="36" customFormat="1" x14ac:dyDescent="0.25">
      <c r="A52" s="35"/>
      <c r="B52" s="33"/>
      <c r="C52" s="33"/>
    </row>
    <row r="53" spans="1:4" s="39" customFormat="1" x14ac:dyDescent="0.25">
      <c r="A53" s="37" t="s">
        <v>58</v>
      </c>
      <c r="B53" s="38" t="s">
        <v>59</v>
      </c>
      <c r="C53" s="39" t="s">
        <v>60</v>
      </c>
      <c r="D53" s="39" t="s">
        <v>62</v>
      </c>
    </row>
    <row r="54" spans="1:4" x14ac:dyDescent="0.25">
      <c r="A54" s="2" t="s">
        <v>61</v>
      </c>
      <c r="B54" s="42">
        <v>750</v>
      </c>
      <c r="C54" s="1">
        <f>ROUNDDOWN($D$54*(1/$B$23*1000000000), 2)</f>
        <v>750</v>
      </c>
      <c r="D54">
        <f>ROUNDDOWN(($B$54/(1/$B$23*1000000000)), 0)</f>
        <v>18</v>
      </c>
    </row>
    <row r="55" spans="1:4" s="5" customFormat="1" ht="30" x14ac:dyDescent="0.25">
      <c r="A55" s="40"/>
      <c r="B55" s="32"/>
      <c r="C55" s="41" t="s">
        <v>63</v>
      </c>
    </row>
    <row r="56" spans="1:4" x14ac:dyDescent="0.25">
      <c r="C56" s="1"/>
    </row>
    <row r="57" spans="1:4" s="50" customFormat="1" ht="13.5" customHeight="1" x14ac:dyDescent="0.25">
      <c r="A57" s="48" t="s">
        <v>64</v>
      </c>
      <c r="B57" s="49"/>
    </row>
    <row r="58" spans="1:4" s="5" customFormat="1" x14ac:dyDescent="0.25">
      <c r="A58" s="40" t="s">
        <v>55</v>
      </c>
      <c r="B58" s="4">
        <v>44</v>
      </c>
    </row>
  </sheetData>
  <mergeCells count="3">
    <mergeCell ref="E2:E21"/>
    <mergeCell ref="C48:C49"/>
    <mergeCell ref="C50:C51"/>
  </mergeCells>
  <conditionalFormatting sqref="B46">
    <cfRule type="cellIs" dxfId="2" priority="1" operator="greaterThan">
      <formula>65535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9525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180975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</xdr:col>
                <xdr:colOff>9525</xdr:colOff>
                <xdr:row>48</xdr:row>
                <xdr:rowOff>180975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76DC-CEE5-45DA-8870-E58881BCFBC3}">
  <sheetPr codeName="Sheet3"/>
  <dimension ref="A1:E58"/>
  <sheetViews>
    <sheetView zoomScaleNormal="100" workbookViewId="0">
      <selection activeCell="B2" sqref="B2"/>
    </sheetView>
  </sheetViews>
  <sheetFormatPr defaultRowHeight="15" x14ac:dyDescent="0.25"/>
  <cols>
    <col min="1" max="1" width="45.28515625" style="2" customWidth="1"/>
    <col min="2" max="2" width="18.42578125" style="1" customWidth="1"/>
    <col min="3" max="3" width="76.140625" customWidth="1"/>
    <col min="4" max="4" width="16.42578125" customWidth="1"/>
    <col min="5" max="5" width="28.42578125" customWidth="1"/>
  </cols>
  <sheetData>
    <row r="1" spans="1:5" s="3" customFormat="1" x14ac:dyDescent="0.25">
      <c r="A1" s="3" t="s">
        <v>1</v>
      </c>
      <c r="B1" s="3" t="s">
        <v>0</v>
      </c>
      <c r="C1" s="3" t="s">
        <v>4</v>
      </c>
      <c r="D1" s="21" t="s">
        <v>27</v>
      </c>
      <c r="E1" s="3" t="s">
        <v>70</v>
      </c>
    </row>
    <row r="2" spans="1:5" x14ac:dyDescent="0.25">
      <c r="A2" s="12" t="s">
        <v>10</v>
      </c>
      <c r="B2" s="1">
        <v>30</v>
      </c>
      <c r="C2" s="22" t="s">
        <v>20</v>
      </c>
      <c r="D2" s="34" t="s">
        <v>46</v>
      </c>
      <c r="E2" s="59"/>
    </row>
    <row r="3" spans="1:5" x14ac:dyDescent="0.25">
      <c r="A3" s="13" t="s">
        <v>9</v>
      </c>
      <c r="B3" s="1">
        <v>250</v>
      </c>
      <c r="C3" s="23" t="s">
        <v>19</v>
      </c>
      <c r="D3" s="34" t="s">
        <v>47</v>
      </c>
      <c r="E3" s="60"/>
    </row>
    <row r="4" spans="1:5" x14ac:dyDescent="0.25">
      <c r="A4" s="13" t="s">
        <v>7</v>
      </c>
      <c r="B4" s="1">
        <v>1300</v>
      </c>
      <c r="C4" s="23" t="s">
        <v>72</v>
      </c>
      <c r="D4" s="34"/>
      <c r="E4" s="60"/>
    </row>
    <row r="5" spans="1:5" x14ac:dyDescent="0.25">
      <c r="A5" s="14" t="s">
        <v>8</v>
      </c>
      <c r="B5" s="1">
        <v>100</v>
      </c>
      <c r="C5" s="23" t="s">
        <v>18</v>
      </c>
      <c r="D5" s="34" t="s">
        <v>48</v>
      </c>
      <c r="E5" s="60"/>
    </row>
    <row r="6" spans="1:5" x14ac:dyDescent="0.25">
      <c r="A6" s="13" t="s">
        <v>11</v>
      </c>
      <c r="B6" s="1">
        <v>600</v>
      </c>
      <c r="C6" s="23" t="s">
        <v>17</v>
      </c>
      <c r="D6" s="34" t="s">
        <v>52</v>
      </c>
      <c r="E6" s="60"/>
    </row>
    <row r="7" spans="1:5" x14ac:dyDescent="0.25">
      <c r="A7" s="13" t="s">
        <v>12</v>
      </c>
      <c r="B7" s="1">
        <v>10</v>
      </c>
      <c r="C7" s="23" t="s">
        <v>16</v>
      </c>
      <c r="D7" s="34" t="s">
        <v>53</v>
      </c>
      <c r="E7" s="60"/>
    </row>
    <row r="8" spans="1:5" x14ac:dyDescent="0.25">
      <c r="A8" s="13" t="s">
        <v>29</v>
      </c>
      <c r="B8" s="1">
        <v>1</v>
      </c>
      <c r="C8" s="23" t="s">
        <v>31</v>
      </c>
      <c r="D8" s="34" t="s">
        <v>30</v>
      </c>
      <c r="E8" s="60"/>
    </row>
    <row r="9" spans="1:5" x14ac:dyDescent="0.25">
      <c r="A9" s="13" t="s">
        <v>13</v>
      </c>
      <c r="B9" s="1">
        <v>4</v>
      </c>
      <c r="C9" s="24" t="s">
        <v>15</v>
      </c>
      <c r="D9" s="34" t="s">
        <v>51</v>
      </c>
      <c r="E9" s="60"/>
    </row>
    <row r="10" spans="1:5" x14ac:dyDescent="0.25">
      <c r="A10" s="13" t="s">
        <v>14</v>
      </c>
      <c r="B10" s="1">
        <v>20</v>
      </c>
      <c r="C10" s="23" t="s">
        <v>33</v>
      </c>
      <c r="D10" s="34" t="s">
        <v>45</v>
      </c>
      <c r="E10" s="60"/>
    </row>
    <row r="11" spans="1:5" x14ac:dyDescent="0.25">
      <c r="A11" s="13" t="s">
        <v>23</v>
      </c>
      <c r="B11" s="1">
        <v>100</v>
      </c>
      <c r="C11" s="23" t="s">
        <v>32</v>
      </c>
      <c r="D11" s="34" t="s">
        <v>45</v>
      </c>
      <c r="E11" s="60"/>
    </row>
    <row r="12" spans="1:5" x14ac:dyDescent="0.25">
      <c r="A12" s="13" t="s">
        <v>22</v>
      </c>
      <c r="B12" s="1">
        <v>90</v>
      </c>
      <c r="C12" s="23" t="s">
        <v>34</v>
      </c>
      <c r="D12" s="34" t="s">
        <v>45</v>
      </c>
      <c r="E12" s="60"/>
    </row>
    <row r="13" spans="1:5" x14ac:dyDescent="0.25">
      <c r="A13" s="13" t="s">
        <v>24</v>
      </c>
      <c r="B13" s="1">
        <v>4300</v>
      </c>
      <c r="C13" s="23" t="s">
        <v>35</v>
      </c>
      <c r="D13" s="34" t="s">
        <v>79</v>
      </c>
      <c r="E13" s="60"/>
    </row>
    <row r="14" spans="1:5" x14ac:dyDescent="0.25">
      <c r="A14" s="2" t="s">
        <v>25</v>
      </c>
      <c r="B14" s="51">
        <v>-4300</v>
      </c>
      <c r="C14" s="23" t="s">
        <v>36</v>
      </c>
      <c r="D14" s="34" t="s">
        <v>80</v>
      </c>
      <c r="E14" s="60"/>
    </row>
    <row r="15" spans="1:5" x14ac:dyDescent="0.25">
      <c r="A15" s="2" t="s">
        <v>67</v>
      </c>
      <c r="B15" s="51">
        <v>11000</v>
      </c>
      <c r="C15" s="23" t="s">
        <v>37</v>
      </c>
      <c r="D15" s="34" t="s">
        <v>69</v>
      </c>
      <c r="E15" s="60"/>
    </row>
    <row r="16" spans="1:5" x14ac:dyDescent="0.25">
      <c r="A16" s="2" t="s">
        <v>68</v>
      </c>
      <c r="B16" s="51">
        <v>25000</v>
      </c>
      <c r="C16" s="23" t="s">
        <v>38</v>
      </c>
      <c r="D16" s="34" t="s">
        <v>69</v>
      </c>
      <c r="E16" s="60"/>
    </row>
    <row r="17" spans="1:5" x14ac:dyDescent="0.25">
      <c r="A17" s="2" t="s">
        <v>41</v>
      </c>
      <c r="B17" s="51">
        <v>8</v>
      </c>
      <c r="C17" s="23" t="s">
        <v>40</v>
      </c>
      <c r="D17" s="34" t="s">
        <v>49</v>
      </c>
      <c r="E17" s="60"/>
    </row>
    <row r="18" spans="1:5" x14ac:dyDescent="0.25">
      <c r="A18" s="2" t="s">
        <v>26</v>
      </c>
      <c r="B18" s="51">
        <v>0</v>
      </c>
      <c r="C18" s="23" t="s">
        <v>39</v>
      </c>
      <c r="D18" s="34" t="s">
        <v>50</v>
      </c>
      <c r="E18" s="60"/>
    </row>
    <row r="19" spans="1:5" x14ac:dyDescent="0.25">
      <c r="A19" s="2" t="s">
        <v>42</v>
      </c>
      <c r="B19" s="51">
        <v>200</v>
      </c>
      <c r="C19" s="23" t="s">
        <v>43</v>
      </c>
      <c r="D19" s="34" t="s">
        <v>28</v>
      </c>
      <c r="E19" s="60"/>
    </row>
    <row r="20" spans="1:5" x14ac:dyDescent="0.25">
      <c r="A20" s="2" t="s">
        <v>54</v>
      </c>
      <c r="B20" s="51">
        <v>1</v>
      </c>
      <c r="C20" s="23" t="s">
        <v>73</v>
      </c>
      <c r="D20" s="34" t="s">
        <v>78</v>
      </c>
      <c r="E20" s="60"/>
    </row>
    <row r="21" spans="1:5" s="5" customFormat="1" x14ac:dyDescent="0.25">
      <c r="A21" s="40" t="s">
        <v>57</v>
      </c>
      <c r="B21" s="52">
        <v>30</v>
      </c>
      <c r="C21" s="25" t="s">
        <v>76</v>
      </c>
      <c r="D21" s="45" t="s">
        <v>71</v>
      </c>
      <c r="E21" s="61"/>
    </row>
    <row r="22" spans="1:5" s="5" customFormat="1" x14ac:dyDescent="0.25">
      <c r="A22" s="40"/>
      <c r="B22" s="33"/>
      <c r="C22" s="46"/>
    </row>
    <row r="23" spans="1:5" s="9" customFormat="1" x14ac:dyDescent="0.25">
      <c r="A23" s="16" t="s">
        <v>2</v>
      </c>
      <c r="B23" s="47">
        <v>24000000</v>
      </c>
      <c r="C23" s="26" t="s">
        <v>5</v>
      </c>
    </row>
    <row r="24" spans="1:5" s="9" customFormat="1" x14ac:dyDescent="0.25">
      <c r="A24" s="16" t="s">
        <v>44</v>
      </c>
      <c r="B24" s="8">
        <v>4</v>
      </c>
      <c r="C24" s="26" t="s">
        <v>6</v>
      </c>
    </row>
    <row r="25" spans="1:5" s="10" customFormat="1" x14ac:dyDescent="0.25">
      <c r="A25" s="17" t="s">
        <v>3</v>
      </c>
      <c r="B25" s="44">
        <v>256</v>
      </c>
      <c r="C25" s="27" t="s">
        <v>6</v>
      </c>
    </row>
    <row r="26" spans="1:5" x14ac:dyDescent="0.25">
      <c r="A26" s="35"/>
      <c r="B26" s="33"/>
      <c r="C26" s="43"/>
    </row>
    <row r="27" spans="1:5" s="7" customFormat="1" x14ac:dyDescent="0.25">
      <c r="A27" s="18" t="s">
        <v>21</v>
      </c>
      <c r="B27" s="6"/>
      <c r="C27" s="28"/>
    </row>
    <row r="28" spans="1:5" x14ac:dyDescent="0.25">
      <c r="A28" s="19" t="str">
        <f>LEFT("#define MOTOR_STARTUP_PWM_DUTY" &amp; REPT(" ",$B$58),$B$58)</f>
        <v xml:space="preserve">#define MOTOR_STARTUP_PWM_DUTY              </v>
      </c>
      <c r="B28" s="11">
        <f>ROUNDDOWN($B$2* 255/100, 0)</f>
        <v>76</v>
      </c>
      <c r="C28" s="23"/>
    </row>
    <row r="29" spans="1:5" x14ac:dyDescent="0.25">
      <c r="A29" s="19" t="str">
        <f>LEFT("#define MOTOR_ALIGN_STEP_DURATION" &amp; REPT(" ",$B$58),$B$58)</f>
        <v xml:space="preserve">#define MOTOR_ALIGN_STEP_DURATION           </v>
      </c>
      <c r="B29" s="11" t="str">
        <f xml:space="preserve"> ROUNDDOWN(($B$3/$B$28)*($B$23/($B$25*1000)-1), 0)&amp;"UL"</f>
        <v>305UL</v>
      </c>
      <c r="C29" s="23"/>
    </row>
    <row r="30" spans="1:5" x14ac:dyDescent="0.25">
      <c r="A30" s="19" t="str">
        <f>LEFT("#define MOTOR_STARTUP_TARGET_RPM" &amp; REPT(" ",$B$58),$B$58)</f>
        <v xml:space="preserve">#define MOTOR_STARTUP_TARGET_RPM            </v>
      </c>
      <c r="B30" s="11" t="str">
        <f>$B$4&amp;"UL"</f>
        <v>1300UL</v>
      </c>
      <c r="C30" s="23"/>
    </row>
    <row r="31" spans="1:5" x14ac:dyDescent="0.25">
      <c r="A31" s="20" t="str">
        <f>LEFT("#define MOTOR_STARTUP_INITIAL_STEP_PERIOD" &amp; REPT(" ",$B$58),$B$58)</f>
        <v xml:space="preserve">#define MOTOR_STARTUP_INITIAL_STEP_PERIOD   </v>
      </c>
      <c r="B31" s="11" t="str">
        <f>$B$5&amp;"UL"</f>
        <v>100UL</v>
      </c>
      <c r="C31" s="23"/>
    </row>
    <row r="32" spans="1:5" x14ac:dyDescent="0.25">
      <c r="A32" s="19" t="str">
        <f>LEFT("#define MOTOR_STARTUP_RAMP_DURATION" &amp; REPT(" ",$B$58),$B$58)</f>
        <v xml:space="preserve">#define MOTOR_STARTUP_RAMP_DURATION         </v>
      </c>
      <c r="B32" s="11" t="str">
        <f>$B$6&amp;"UL"</f>
        <v>600UL</v>
      </c>
      <c r="C32" s="23"/>
    </row>
    <row r="33" spans="1:3" x14ac:dyDescent="0.25">
      <c r="A33" s="19" t="str">
        <f>LEFT("#define MOTOR_STARTUP_SUSTAIN" &amp; REPT(" ",$B$58),$B$58)</f>
        <v xml:space="preserve">#define MOTOR_STARTUP_SUSTAIN               </v>
      </c>
      <c r="B33" s="11">
        <f>$B$7</f>
        <v>10</v>
      </c>
      <c r="C33" s="23"/>
    </row>
    <row r="34" spans="1:3" x14ac:dyDescent="0.25">
      <c r="A34" s="19" t="str">
        <f>LEFT("#define MOTOR_STARTUP_CONSTANT" &amp; REPT(" ",$B$58),$B$58)</f>
        <v xml:space="preserve">#define MOTOR_STARTUP_CONSTANT              </v>
      </c>
      <c r="B34" s="11" t="str">
        <f>ROUNDDOWN(1000000*($B6/($B4*$B9)),0)&amp;"UL"</f>
        <v>115384UL</v>
      </c>
      <c r="C34" s="23"/>
    </row>
    <row r="35" spans="1:3" x14ac:dyDescent="0.25">
      <c r="A35" s="19" t="str">
        <f>LEFT("#define MOTOR_POLE_PAIRS" &amp; REPT(" ",$B$58),$B$58)</f>
        <v xml:space="preserve">#define MOTOR_POLE_PAIRS                    </v>
      </c>
      <c r="B35" s="11">
        <f>$B$9</f>
        <v>4</v>
      </c>
      <c r="C35" s="23"/>
    </row>
    <row r="36" spans="1:3" x14ac:dyDescent="0.25">
      <c r="A36" s="19" t="str">
        <f>LEFT("#define MOTOR_MIN_PWM_DUTY" &amp; REPT(" ",$B$58),$B$58)</f>
        <v xml:space="preserve">#define MOTOR_MIN_PWM_DUTY                  </v>
      </c>
      <c r="B36" s="11">
        <f>ROUNDDOWN($B$10* 255/100, 0)</f>
        <v>51</v>
      </c>
      <c r="C36" s="23"/>
    </row>
    <row r="37" spans="1:3" x14ac:dyDescent="0.25">
      <c r="A37" s="19" t="str">
        <f>LEFT("#define MOTOR_MAX_PWM_DUTY" &amp; REPT(" ",$B$58),$B$58)</f>
        <v xml:space="preserve">#define MOTOR_MAX_PWM_DUTY                  </v>
      </c>
      <c r="B37" s="11">
        <f>ROUNDDOWN($B$11* 255/100, 0)</f>
        <v>255</v>
      </c>
      <c r="C37" s="23"/>
    </row>
    <row r="38" spans="1:3" x14ac:dyDescent="0.25">
      <c r="A38" s="19" t="str">
        <f>LEFT("#define MOTOR_BRAKE_DUTY" &amp; REPT(" ",$B$58),$B$58)</f>
        <v xml:space="preserve">#define MOTOR_BRAKE_DUTY                    </v>
      </c>
      <c r="B38" s="11">
        <f>ROUNDDOWN($B$12* 255/100, 0)</f>
        <v>229</v>
      </c>
      <c r="C38" s="23"/>
    </row>
    <row r="39" spans="1:3" x14ac:dyDescent="0.25">
      <c r="A39" s="19" t="str">
        <f>LEFT("#define MOTOR_CURRENT_UPPER_LIMIT" &amp; REPT(" ",$B$58),$B$58)</f>
        <v xml:space="preserve">#define MOTOR_CURRENT_UPPER_LIMIT           </v>
      </c>
      <c r="B39" s="11" t="str">
        <f>$B$13 &amp;"UL"</f>
        <v>4300UL</v>
      </c>
      <c r="C39" s="23"/>
    </row>
    <row r="40" spans="1:3" x14ac:dyDescent="0.25">
      <c r="A40" s="19" t="str">
        <f>LEFT("#define MOTOR_CURRENT_LOWER_LIMIT" &amp; REPT(" ",$B$58),$B$58)</f>
        <v xml:space="preserve">#define MOTOR_CURRENT_LOWER_LIMIT           </v>
      </c>
      <c r="B40" s="11" t="str">
        <f>$B$14&amp;"UL"</f>
        <v>-4300UL</v>
      </c>
      <c r="C40" s="23"/>
    </row>
    <row r="41" spans="1:3" x14ac:dyDescent="0.25">
      <c r="A41" s="19" t="str">
        <f>LEFT("#define SUPPLY_UVP" &amp; REPT(" ",$B$58),$B$58)</f>
        <v xml:space="preserve">#define SUPPLY_UVP                          </v>
      </c>
      <c r="B41" s="11">
        <f>B$15</f>
        <v>11000</v>
      </c>
      <c r="C41" s="23"/>
    </row>
    <row r="42" spans="1:3" x14ac:dyDescent="0.25">
      <c r="A42" s="19" t="str">
        <f>LEFT("#define SUPPLY_OVP" &amp; REPT(" ",$B$58),$B$58)</f>
        <v xml:space="preserve">#define SUPPLY_OVP                          </v>
      </c>
      <c r="B42" s="11">
        <f>B$16</f>
        <v>25000</v>
      </c>
      <c r="C42" s="23"/>
    </row>
    <row r="43" spans="1:3" x14ac:dyDescent="0.25">
      <c r="A43" s="19" t="str">
        <f>LEFT("#define MOTOR_DIVISION_FACTOR" &amp; REPT(" ",$B$58),$B$58)</f>
        <v xml:space="preserve">#define MOTOR_DIVISION_FACTOR               </v>
      </c>
      <c r="B43" s="11">
        <f>$B$17</f>
        <v>8</v>
      </c>
      <c r="C43" s="23"/>
    </row>
    <row r="44" spans="1:3" x14ac:dyDescent="0.25">
      <c r="A44" s="19" t="str">
        <f>LEFT("#define MOTOR_ADVANCE_ANGLE" &amp; REPT(" ",$B$58),$B$58)</f>
        <v xml:space="preserve">#define MOTOR_ADVANCE_ANGLE                 </v>
      </c>
      <c r="B44" s="11">
        <f>$B$18</f>
        <v>0</v>
      </c>
      <c r="C44" s="23"/>
    </row>
    <row r="45" spans="1:3" x14ac:dyDescent="0.25">
      <c r="A45" s="19" t="str">
        <f>LEFT("#define MOTOR_PASSTHROUGH_DELAY_COMP" &amp; REPT(" ",$B$58),$B$58)</f>
        <v xml:space="preserve">#define MOTOR_PASSTHROUGH_DELAY_COMP        </v>
      </c>
      <c r="B45" s="11" t="str">
        <f>ROUNDDOWN((($B$19/1000000)*($B$23/$B$24)), 0)&amp;"UL"</f>
        <v>1200UL</v>
      </c>
      <c r="C45" s="23"/>
    </row>
    <row r="46" spans="1:3" x14ac:dyDescent="0.25">
      <c r="A46" s="19" t="str">
        <f>LEFT("#define MOTOR_ZERO_CROSS_TIMEOUT_VALUE" &amp; REPT(" ",$B$58),$B$58)</f>
        <v xml:space="preserve">#define MOTOR_ZERO_CROSS_TIMEOUT_VALUE      </v>
      </c>
      <c r="B46" s="11">
        <f>ROUNDDOWN( ((1/($B$4/60*$B$9)/6)*($B$23/$B24)) + ((1/($B$4/60*$B$9)/6)*($B$23/$B24))*($B$21/100), 0)</f>
        <v>15000</v>
      </c>
      <c r="C46" s="23" t="s">
        <v>56</v>
      </c>
    </row>
    <row r="47" spans="1:3" x14ac:dyDescent="0.25">
      <c r="A47" s="19" t="str">
        <f>LEFT("#define MOTOR_COMMUTATION_TIME_DELTA" &amp; REPT(" ",$B$58),$B$58)</f>
        <v xml:space="preserve">#define MOTOR_COMMUTATION_TIME_DELTA        </v>
      </c>
      <c r="B47" s="11">
        <f>$B$20</f>
        <v>1</v>
      </c>
      <c r="C47" s="23"/>
    </row>
    <row r="48" spans="1:3" x14ac:dyDescent="0.25">
      <c r="A48" s="13"/>
      <c r="C48" s="56" t="s">
        <v>65</v>
      </c>
    </row>
    <row r="49" spans="1:4" x14ac:dyDescent="0.25">
      <c r="A49" s="13"/>
      <c r="C49" s="57"/>
    </row>
    <row r="50" spans="1:4" x14ac:dyDescent="0.25">
      <c r="A50" s="13"/>
      <c r="C50" s="57" t="s">
        <v>66</v>
      </c>
    </row>
    <row r="51" spans="1:4" s="5" customFormat="1" x14ac:dyDescent="0.25">
      <c r="A51" s="15"/>
      <c r="B51" s="4"/>
      <c r="C51" s="58"/>
    </row>
    <row r="52" spans="1:4" s="36" customFormat="1" x14ac:dyDescent="0.25">
      <c r="A52" s="35"/>
      <c r="B52" s="33"/>
      <c r="C52" s="33"/>
    </row>
    <row r="53" spans="1:4" s="39" customFormat="1" x14ac:dyDescent="0.25">
      <c r="A53" s="37" t="s">
        <v>58</v>
      </c>
      <c r="B53" s="38" t="s">
        <v>59</v>
      </c>
      <c r="C53" s="39" t="s">
        <v>60</v>
      </c>
      <c r="D53" s="39" t="s">
        <v>62</v>
      </c>
    </row>
    <row r="54" spans="1:4" x14ac:dyDescent="0.25">
      <c r="A54" s="2" t="s">
        <v>61</v>
      </c>
      <c r="B54" s="42">
        <v>750</v>
      </c>
      <c r="C54" s="1">
        <f>ROUNDDOWN($D$54*(1/$B$23*1000000000), 2)</f>
        <v>750</v>
      </c>
      <c r="D54">
        <f>ROUNDDOWN(($B$54/(1/$B$23*1000000000)), 0)</f>
        <v>18</v>
      </c>
    </row>
    <row r="55" spans="1:4" s="5" customFormat="1" ht="30" x14ac:dyDescent="0.25">
      <c r="A55" s="40"/>
      <c r="B55" s="52"/>
      <c r="C55" s="41" t="s">
        <v>63</v>
      </c>
    </row>
    <row r="56" spans="1:4" x14ac:dyDescent="0.25">
      <c r="C56" s="1"/>
    </row>
    <row r="57" spans="1:4" s="50" customFormat="1" ht="13.5" customHeight="1" x14ac:dyDescent="0.25">
      <c r="A57" s="48" t="s">
        <v>64</v>
      </c>
      <c r="B57" s="49"/>
    </row>
    <row r="58" spans="1:4" s="5" customFormat="1" x14ac:dyDescent="0.25">
      <c r="A58" s="40" t="s">
        <v>55</v>
      </c>
      <c r="B58" s="4">
        <v>44</v>
      </c>
    </row>
  </sheetData>
  <mergeCells count="3">
    <mergeCell ref="E2:E21"/>
    <mergeCell ref="C48:C49"/>
    <mergeCell ref="C50:C51"/>
  </mergeCells>
  <conditionalFormatting sqref="B46">
    <cfRule type="cellIs" dxfId="1" priority="1" operator="greaterThan">
      <formula>65535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9525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180975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Line="0" r:id="rId7">
            <anchor moveWithCells="1">
              <from>
                <xdr:col>1</xdr:col>
                <xdr:colOff>9525</xdr:colOff>
                <xdr:row>48</xdr:row>
                <xdr:rowOff>180975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8"/>
  <sheetViews>
    <sheetView zoomScaleNormal="100" workbookViewId="0">
      <selection activeCell="B2" sqref="B2"/>
    </sheetView>
  </sheetViews>
  <sheetFormatPr defaultRowHeight="15" x14ac:dyDescent="0.25"/>
  <cols>
    <col min="1" max="1" width="45.28515625" style="2" customWidth="1"/>
    <col min="2" max="2" width="18.42578125" style="1" customWidth="1"/>
    <col min="3" max="3" width="76.140625" customWidth="1"/>
    <col min="4" max="4" width="16.42578125" customWidth="1"/>
    <col min="5" max="5" width="28.42578125" customWidth="1"/>
  </cols>
  <sheetData>
    <row r="1" spans="1:5" s="3" customFormat="1" x14ac:dyDescent="0.25">
      <c r="A1" s="3" t="s">
        <v>1</v>
      </c>
      <c r="B1" s="3" t="s">
        <v>0</v>
      </c>
      <c r="C1" s="3" t="s">
        <v>4</v>
      </c>
      <c r="D1" s="21" t="s">
        <v>27</v>
      </c>
      <c r="E1" s="3" t="s">
        <v>74</v>
      </c>
    </row>
    <row r="2" spans="1:5" x14ac:dyDescent="0.25">
      <c r="A2" s="12" t="s">
        <v>10</v>
      </c>
      <c r="B2" s="1">
        <v>6</v>
      </c>
      <c r="C2" s="22" t="s">
        <v>20</v>
      </c>
      <c r="D2" s="34" t="s">
        <v>46</v>
      </c>
      <c r="E2" s="53" t="s">
        <v>75</v>
      </c>
    </row>
    <row r="3" spans="1:5" x14ac:dyDescent="0.25">
      <c r="A3" s="13" t="s">
        <v>9</v>
      </c>
      <c r="B3" s="1">
        <v>150</v>
      </c>
      <c r="C3" s="23" t="s">
        <v>19</v>
      </c>
      <c r="D3" s="34" t="s">
        <v>47</v>
      </c>
      <c r="E3" s="62"/>
    </row>
    <row r="4" spans="1:5" x14ac:dyDescent="0.25">
      <c r="A4" s="13" t="s">
        <v>7</v>
      </c>
      <c r="B4" s="1">
        <v>1550</v>
      </c>
      <c r="C4" s="23" t="s">
        <v>72</v>
      </c>
      <c r="D4" s="34"/>
      <c r="E4" s="62"/>
    </row>
    <row r="5" spans="1:5" x14ac:dyDescent="0.25">
      <c r="A5" s="14" t="s">
        <v>8</v>
      </c>
      <c r="B5" s="1">
        <v>80</v>
      </c>
      <c r="C5" s="23" t="s">
        <v>18</v>
      </c>
      <c r="D5" s="34" t="s">
        <v>48</v>
      </c>
      <c r="E5" s="62"/>
    </row>
    <row r="6" spans="1:5" x14ac:dyDescent="0.25">
      <c r="A6" s="13" t="s">
        <v>11</v>
      </c>
      <c r="B6" s="1">
        <v>400</v>
      </c>
      <c r="C6" s="23" t="s">
        <v>17</v>
      </c>
      <c r="D6" s="34" t="s">
        <v>52</v>
      </c>
      <c r="E6" s="62"/>
    </row>
    <row r="7" spans="1:5" x14ac:dyDescent="0.25">
      <c r="A7" s="13" t="s">
        <v>12</v>
      </c>
      <c r="B7" s="1">
        <v>1</v>
      </c>
      <c r="C7" s="23" t="s">
        <v>16</v>
      </c>
      <c r="D7" s="34" t="s">
        <v>53</v>
      </c>
      <c r="E7" s="62"/>
    </row>
    <row r="8" spans="1:5" x14ac:dyDescent="0.25">
      <c r="A8" s="13" t="s">
        <v>29</v>
      </c>
      <c r="B8" s="1">
        <v>1</v>
      </c>
      <c r="C8" s="23" t="s">
        <v>31</v>
      </c>
      <c r="D8" s="34" t="s">
        <v>30</v>
      </c>
      <c r="E8" s="62"/>
    </row>
    <row r="9" spans="1:5" x14ac:dyDescent="0.25">
      <c r="A9" s="13" t="s">
        <v>13</v>
      </c>
      <c r="B9" s="1">
        <v>7</v>
      </c>
      <c r="C9" s="24" t="s">
        <v>15</v>
      </c>
      <c r="D9" s="34" t="s">
        <v>51</v>
      </c>
      <c r="E9" s="62"/>
    </row>
    <row r="10" spans="1:5" x14ac:dyDescent="0.25">
      <c r="A10" s="13" t="s">
        <v>14</v>
      </c>
      <c r="B10" s="1">
        <v>1</v>
      </c>
      <c r="C10" s="23" t="s">
        <v>33</v>
      </c>
      <c r="D10" s="34" t="s">
        <v>45</v>
      </c>
      <c r="E10" s="62"/>
    </row>
    <row r="11" spans="1:5" x14ac:dyDescent="0.25">
      <c r="A11" s="13" t="s">
        <v>23</v>
      </c>
      <c r="B11" s="1">
        <v>100</v>
      </c>
      <c r="C11" s="23" t="s">
        <v>32</v>
      </c>
      <c r="D11" s="34" t="s">
        <v>45</v>
      </c>
      <c r="E11" s="62"/>
    </row>
    <row r="12" spans="1:5" x14ac:dyDescent="0.25">
      <c r="A12" s="13" t="s">
        <v>22</v>
      </c>
      <c r="B12" s="1">
        <v>90</v>
      </c>
      <c r="C12" s="23" t="s">
        <v>34</v>
      </c>
      <c r="D12" s="34" t="s">
        <v>45</v>
      </c>
      <c r="E12" s="62"/>
    </row>
    <row r="13" spans="1:5" x14ac:dyDescent="0.25">
      <c r="A13" s="13" t="s">
        <v>24</v>
      </c>
      <c r="B13" s="1">
        <v>4300</v>
      </c>
      <c r="C13" s="23" t="s">
        <v>35</v>
      </c>
      <c r="D13" s="34" t="s">
        <v>79</v>
      </c>
      <c r="E13" s="62"/>
    </row>
    <row r="14" spans="1:5" x14ac:dyDescent="0.25">
      <c r="A14" s="2" t="s">
        <v>25</v>
      </c>
      <c r="B14" s="29">
        <v>-4300</v>
      </c>
      <c r="C14" s="23" t="s">
        <v>36</v>
      </c>
      <c r="D14" s="34" t="s">
        <v>80</v>
      </c>
      <c r="E14" s="62"/>
    </row>
    <row r="15" spans="1:5" x14ac:dyDescent="0.25">
      <c r="A15" s="2" t="s">
        <v>67</v>
      </c>
      <c r="B15" s="29">
        <v>11000</v>
      </c>
      <c r="C15" s="23" t="s">
        <v>37</v>
      </c>
      <c r="D15" s="34" t="s">
        <v>69</v>
      </c>
      <c r="E15" s="62"/>
    </row>
    <row r="16" spans="1:5" x14ac:dyDescent="0.25">
      <c r="A16" s="2" t="s">
        <v>68</v>
      </c>
      <c r="B16" s="29">
        <v>25000</v>
      </c>
      <c r="C16" s="23" t="s">
        <v>38</v>
      </c>
      <c r="D16" s="34" t="s">
        <v>69</v>
      </c>
      <c r="E16" s="62"/>
    </row>
    <row r="17" spans="1:5" x14ac:dyDescent="0.25">
      <c r="A17" s="2" t="s">
        <v>41</v>
      </c>
      <c r="B17" s="29">
        <v>8</v>
      </c>
      <c r="C17" s="23" t="s">
        <v>40</v>
      </c>
      <c r="D17" s="34" t="s">
        <v>49</v>
      </c>
      <c r="E17" s="62"/>
    </row>
    <row r="18" spans="1:5" x14ac:dyDescent="0.25">
      <c r="A18" s="2" t="s">
        <v>26</v>
      </c>
      <c r="B18" s="29">
        <v>10</v>
      </c>
      <c r="C18" s="23" t="s">
        <v>39</v>
      </c>
      <c r="D18" s="34" t="s">
        <v>50</v>
      </c>
      <c r="E18" s="62"/>
    </row>
    <row r="19" spans="1:5" x14ac:dyDescent="0.25">
      <c r="A19" s="2" t="s">
        <v>42</v>
      </c>
      <c r="B19" s="29">
        <v>200</v>
      </c>
      <c r="C19" s="23" t="s">
        <v>43</v>
      </c>
      <c r="D19" s="34" t="s">
        <v>28</v>
      </c>
      <c r="E19" s="62"/>
    </row>
    <row r="20" spans="1:5" x14ac:dyDescent="0.25">
      <c r="A20" s="2" t="s">
        <v>54</v>
      </c>
      <c r="B20" s="29">
        <v>1</v>
      </c>
      <c r="C20" s="23" t="s">
        <v>73</v>
      </c>
      <c r="D20" s="34" t="s">
        <v>78</v>
      </c>
      <c r="E20" s="62"/>
    </row>
    <row r="21" spans="1:5" s="5" customFormat="1" x14ac:dyDescent="0.25">
      <c r="A21" s="40" t="s">
        <v>57</v>
      </c>
      <c r="B21" s="30">
        <v>40</v>
      </c>
      <c r="C21" s="25" t="s">
        <v>76</v>
      </c>
      <c r="D21" s="45" t="s">
        <v>71</v>
      </c>
      <c r="E21" s="63"/>
    </row>
    <row r="22" spans="1:5" s="5" customFormat="1" x14ac:dyDescent="0.25">
      <c r="A22" s="40"/>
      <c r="B22" s="33"/>
      <c r="C22" s="46"/>
    </row>
    <row r="23" spans="1:5" s="9" customFormat="1" x14ac:dyDescent="0.25">
      <c r="A23" s="16" t="s">
        <v>2</v>
      </c>
      <c r="B23" s="47">
        <v>24000000</v>
      </c>
      <c r="C23" s="26" t="s">
        <v>5</v>
      </c>
    </row>
    <row r="24" spans="1:5" s="9" customFormat="1" x14ac:dyDescent="0.25">
      <c r="A24" s="16" t="s">
        <v>44</v>
      </c>
      <c r="B24" s="8">
        <v>4</v>
      </c>
      <c r="C24" s="26" t="s">
        <v>6</v>
      </c>
    </row>
    <row r="25" spans="1:5" s="10" customFormat="1" x14ac:dyDescent="0.25">
      <c r="A25" s="17" t="s">
        <v>3</v>
      </c>
      <c r="B25" s="44">
        <v>256</v>
      </c>
      <c r="C25" s="27" t="s">
        <v>6</v>
      </c>
    </row>
    <row r="26" spans="1:5" x14ac:dyDescent="0.25">
      <c r="A26" s="35"/>
      <c r="B26" s="33"/>
      <c r="C26" s="43"/>
    </row>
    <row r="27" spans="1:5" s="7" customFormat="1" x14ac:dyDescent="0.25">
      <c r="A27" s="18" t="s">
        <v>21</v>
      </c>
      <c r="B27" s="6"/>
      <c r="C27" s="28"/>
    </row>
    <row r="28" spans="1:5" x14ac:dyDescent="0.25">
      <c r="A28" s="19" t="str">
        <f>LEFT("#define MOTOR_STARTUP_PWM_DUTY" &amp; REPT(" ",$B$58),$B$58)</f>
        <v xml:space="preserve">#define MOTOR_STARTUP_PWM_DUTY              </v>
      </c>
      <c r="B28" s="11">
        <f>ROUNDDOWN($B$2* 255/100, 0)</f>
        <v>15</v>
      </c>
      <c r="C28" s="23"/>
    </row>
    <row r="29" spans="1:5" x14ac:dyDescent="0.25">
      <c r="A29" s="19" t="str">
        <f>LEFT("#define MOTOR_ALIGN_STEP_DURATION" &amp; REPT(" ",$B$58),$B$58)</f>
        <v xml:space="preserve">#define MOTOR_ALIGN_STEP_DURATION           </v>
      </c>
      <c r="B29" s="11" t="str">
        <f xml:space="preserve"> ROUNDDOWN(($B$3/$B$28)*($B$23/($B$25*1000)-1), 0)&amp;"UL"</f>
        <v>927UL</v>
      </c>
      <c r="C29" s="23"/>
    </row>
    <row r="30" spans="1:5" x14ac:dyDescent="0.25">
      <c r="A30" s="19" t="str">
        <f>LEFT("#define MOTOR_STARTUP_TARGET_RPM" &amp; REPT(" ",$B$58),$B$58)</f>
        <v xml:space="preserve">#define MOTOR_STARTUP_TARGET_RPM            </v>
      </c>
      <c r="B30" s="11" t="str">
        <f>$B$4&amp;"UL"</f>
        <v>1550UL</v>
      </c>
      <c r="C30" s="23"/>
    </row>
    <row r="31" spans="1:5" x14ac:dyDescent="0.25">
      <c r="A31" s="20" t="str">
        <f>LEFT("#define MOTOR_STARTUP_INITIAL_STEP_PERIOD" &amp; REPT(" ",$B$58),$B$58)</f>
        <v xml:space="preserve">#define MOTOR_STARTUP_INITIAL_STEP_PERIOD   </v>
      </c>
      <c r="B31" s="11" t="str">
        <f>$B$5&amp;"UL"</f>
        <v>80UL</v>
      </c>
      <c r="C31" s="23"/>
    </row>
    <row r="32" spans="1:5" x14ac:dyDescent="0.25">
      <c r="A32" s="19" t="str">
        <f>LEFT("#define MOTOR_STARTUP_RAMP_DURATION" &amp; REPT(" ",$B$58),$B$58)</f>
        <v xml:space="preserve">#define MOTOR_STARTUP_RAMP_DURATION         </v>
      </c>
      <c r="B32" s="11" t="str">
        <f>$B$6&amp;"UL"</f>
        <v>400UL</v>
      </c>
      <c r="C32" s="23"/>
    </row>
    <row r="33" spans="1:3" x14ac:dyDescent="0.25">
      <c r="A33" s="19" t="str">
        <f>LEFT("#define MOTOR_STARTUP_SUSTAIN" &amp; REPT(" ",$B$58),$B$58)</f>
        <v xml:space="preserve">#define MOTOR_STARTUP_SUSTAIN               </v>
      </c>
      <c r="B33" s="11">
        <f>$B$7</f>
        <v>1</v>
      </c>
      <c r="C33" s="23"/>
    </row>
    <row r="34" spans="1:3" x14ac:dyDescent="0.25">
      <c r="A34" s="19" t="str">
        <f>LEFT("#define MOTOR_STARTUP_CONSTANT" &amp; REPT(" ",$B$58),$B$58)</f>
        <v xml:space="preserve">#define MOTOR_STARTUP_CONSTANT              </v>
      </c>
      <c r="B34" s="11" t="str">
        <f>ROUNDDOWN(1000000*($B6/($B4*$B9)),0)&amp;"UL"</f>
        <v>36866UL</v>
      </c>
      <c r="C34" s="23"/>
    </row>
    <row r="35" spans="1:3" x14ac:dyDescent="0.25">
      <c r="A35" s="19" t="str">
        <f>LEFT("#define MOTOR_POLE_PAIRS" &amp; REPT(" ",$B$58),$B$58)</f>
        <v xml:space="preserve">#define MOTOR_POLE_PAIRS                    </v>
      </c>
      <c r="B35" s="11">
        <f>$B$9</f>
        <v>7</v>
      </c>
      <c r="C35" s="23"/>
    </row>
    <row r="36" spans="1:3" x14ac:dyDescent="0.25">
      <c r="A36" s="19" t="str">
        <f>LEFT("#define MOTOR_MIN_PWM_DUTY" &amp; REPT(" ",$B$58),$B$58)</f>
        <v xml:space="preserve">#define MOTOR_MIN_PWM_DUTY                  </v>
      </c>
      <c r="B36" s="11">
        <f>ROUNDDOWN($B$10* 255/100, 0)</f>
        <v>2</v>
      </c>
      <c r="C36" s="23"/>
    </row>
    <row r="37" spans="1:3" x14ac:dyDescent="0.25">
      <c r="A37" s="19" t="str">
        <f>LEFT("#define MOTOR_MAX_PWM_DUTY" &amp; REPT(" ",$B$58),$B$58)</f>
        <v xml:space="preserve">#define MOTOR_MAX_PWM_DUTY                  </v>
      </c>
      <c r="B37" s="11">
        <f>ROUNDDOWN($B$11* 255/100, 0)</f>
        <v>255</v>
      </c>
      <c r="C37" s="23"/>
    </row>
    <row r="38" spans="1:3" x14ac:dyDescent="0.25">
      <c r="A38" s="19" t="str">
        <f>LEFT("#define MOTOR_BRAKE_DUTY" &amp; REPT(" ",$B$58),$B$58)</f>
        <v xml:space="preserve">#define MOTOR_BRAKE_DUTY                    </v>
      </c>
      <c r="B38" s="11">
        <f>ROUNDDOWN($B$12* 255/100, 0)</f>
        <v>229</v>
      </c>
      <c r="C38" s="23"/>
    </row>
    <row r="39" spans="1:3" x14ac:dyDescent="0.25">
      <c r="A39" s="19" t="str">
        <f>LEFT("#define MOTOR_CURRENT_UPPER_LIMIT" &amp; REPT(" ",$B$58),$B$58)</f>
        <v xml:space="preserve">#define MOTOR_CURRENT_UPPER_LIMIT           </v>
      </c>
      <c r="B39" s="11" t="str">
        <f>$B$13 &amp;"UL"</f>
        <v>4300UL</v>
      </c>
      <c r="C39" s="23"/>
    </row>
    <row r="40" spans="1:3" x14ac:dyDescent="0.25">
      <c r="A40" s="19" t="str">
        <f>LEFT("#define MOTOR_CURRENT_LOWER_LIMIT" &amp; REPT(" ",$B$58),$B$58)</f>
        <v xml:space="preserve">#define MOTOR_CURRENT_LOWER_LIMIT           </v>
      </c>
      <c r="B40" s="11" t="str">
        <f>$B$14&amp;"UL"</f>
        <v>-4300UL</v>
      </c>
      <c r="C40" s="23"/>
    </row>
    <row r="41" spans="1:3" x14ac:dyDescent="0.25">
      <c r="A41" s="19" t="str">
        <f>LEFT("#define SUPPLY_UVP" &amp; REPT(" ",$B$58),$B$58)</f>
        <v xml:space="preserve">#define SUPPLY_UVP                          </v>
      </c>
      <c r="B41" s="11">
        <f>B$15</f>
        <v>11000</v>
      </c>
      <c r="C41" s="23"/>
    </row>
    <row r="42" spans="1:3" x14ac:dyDescent="0.25">
      <c r="A42" s="19" t="str">
        <f>LEFT("#define SUPPLY_OVP" &amp; REPT(" ",$B$58),$B$58)</f>
        <v xml:space="preserve">#define SUPPLY_OVP                          </v>
      </c>
      <c r="B42" s="11">
        <f>B$16</f>
        <v>25000</v>
      </c>
      <c r="C42" s="23"/>
    </row>
    <row r="43" spans="1:3" x14ac:dyDescent="0.25">
      <c r="A43" s="19" t="str">
        <f>LEFT("#define MOTOR_DIVISION_FACTOR" &amp; REPT(" ",$B$58),$B$58)</f>
        <v xml:space="preserve">#define MOTOR_DIVISION_FACTOR               </v>
      </c>
      <c r="B43" s="11">
        <f>$B$17</f>
        <v>8</v>
      </c>
      <c r="C43" s="23"/>
    </row>
    <row r="44" spans="1:3" x14ac:dyDescent="0.25">
      <c r="A44" s="19" t="str">
        <f>LEFT("#define MOTOR_ADVANCE_ANGLE" &amp; REPT(" ",$B$58),$B$58)</f>
        <v xml:space="preserve">#define MOTOR_ADVANCE_ANGLE                 </v>
      </c>
      <c r="B44" s="11">
        <f>$B$18</f>
        <v>10</v>
      </c>
      <c r="C44" s="23"/>
    </row>
    <row r="45" spans="1:3" x14ac:dyDescent="0.25">
      <c r="A45" s="19" t="str">
        <f>LEFT("#define MOTOR_PASSTHROUGH_DELAY_COMP" &amp; REPT(" ",$B$58),$B$58)</f>
        <v xml:space="preserve">#define MOTOR_PASSTHROUGH_DELAY_COMP        </v>
      </c>
      <c r="B45" s="11" t="str">
        <f>ROUNDDOWN((($B$19/1000000)*($B$23/$B$24)), 0)&amp;"UL"</f>
        <v>1200UL</v>
      </c>
      <c r="C45" s="23"/>
    </row>
    <row r="46" spans="1:3" x14ac:dyDescent="0.25">
      <c r="A46" s="19" t="str">
        <f>LEFT("#define MOTOR_ZERO_CROSS_TIMEOUT_VALUE" &amp; REPT(" ",$B$58),$B$58)</f>
        <v xml:space="preserve">#define MOTOR_ZERO_CROSS_TIMEOUT_VALUE      </v>
      </c>
      <c r="B46" s="11">
        <f>ROUNDDOWN( ((1/($B$4/60*$B$9)/6)*($B$23/$B24)) + ((1/($B$4/60*$B$9)/6)*($B$23/$B24))*($B$21/100), 0)</f>
        <v>7741</v>
      </c>
      <c r="C46" s="23" t="s">
        <v>56</v>
      </c>
    </row>
    <row r="47" spans="1:3" x14ac:dyDescent="0.25">
      <c r="A47" s="19" t="str">
        <f>LEFT("#define MOTOR_COMMUTATION_TIME_DELTA" &amp; REPT(" ",$B$58),$B$58)</f>
        <v xml:space="preserve">#define MOTOR_COMMUTATION_TIME_DELTA        </v>
      </c>
      <c r="B47" s="11">
        <f>$B$20</f>
        <v>1</v>
      </c>
      <c r="C47" s="23"/>
    </row>
    <row r="48" spans="1:3" x14ac:dyDescent="0.25">
      <c r="A48" s="13"/>
      <c r="C48" s="56" t="s">
        <v>65</v>
      </c>
    </row>
    <row r="49" spans="1:4" x14ac:dyDescent="0.25">
      <c r="A49" s="13"/>
      <c r="C49" s="57"/>
    </row>
    <row r="50" spans="1:4" x14ac:dyDescent="0.25">
      <c r="A50" s="13"/>
      <c r="C50" s="57" t="s">
        <v>66</v>
      </c>
    </row>
    <row r="51" spans="1:4" s="5" customFormat="1" x14ac:dyDescent="0.25">
      <c r="A51" s="15"/>
      <c r="B51" s="4"/>
      <c r="C51" s="58"/>
    </row>
    <row r="52" spans="1:4" s="36" customFormat="1" x14ac:dyDescent="0.25">
      <c r="A52" s="35"/>
      <c r="B52" s="33"/>
      <c r="C52" s="33"/>
    </row>
    <row r="53" spans="1:4" s="39" customFormat="1" x14ac:dyDescent="0.25">
      <c r="A53" s="37" t="s">
        <v>58</v>
      </c>
      <c r="B53" s="38" t="s">
        <v>59</v>
      </c>
      <c r="C53" s="39" t="s">
        <v>60</v>
      </c>
      <c r="D53" s="39" t="s">
        <v>62</v>
      </c>
    </row>
    <row r="54" spans="1:4" x14ac:dyDescent="0.25">
      <c r="A54" s="2" t="s">
        <v>61</v>
      </c>
      <c r="B54" s="42">
        <v>750</v>
      </c>
      <c r="C54" s="1">
        <f>ROUNDDOWN($D$54*(1/$B$23*1000000000), 2)</f>
        <v>750</v>
      </c>
      <c r="D54">
        <f>ROUNDDOWN(($B$54/(1/$B$23*1000000000)), 0)</f>
        <v>18</v>
      </c>
    </row>
    <row r="55" spans="1:4" s="5" customFormat="1" ht="30" x14ac:dyDescent="0.25">
      <c r="A55" s="40"/>
      <c r="B55" s="30"/>
      <c r="C55" s="41" t="s">
        <v>63</v>
      </c>
    </row>
    <row r="56" spans="1:4" x14ac:dyDescent="0.25">
      <c r="C56" s="1"/>
    </row>
    <row r="57" spans="1:4" s="50" customFormat="1" ht="13.5" customHeight="1" x14ac:dyDescent="0.25">
      <c r="A57" s="48" t="s">
        <v>64</v>
      </c>
      <c r="B57" s="49"/>
    </row>
    <row r="58" spans="1:4" s="5" customFormat="1" x14ac:dyDescent="0.25">
      <c r="A58" s="40" t="s">
        <v>55</v>
      </c>
      <c r="B58" s="4">
        <v>44</v>
      </c>
    </row>
  </sheetData>
  <mergeCells count="3">
    <mergeCell ref="C48:C49"/>
    <mergeCell ref="C50:C51"/>
    <mergeCell ref="E2:E21"/>
  </mergeCells>
  <conditionalFormatting sqref="B46">
    <cfRule type="cellIs" dxfId="0" priority="1" operator="greaterThan">
      <formula>65535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</xdr:col>
                <xdr:colOff>9525</xdr:colOff>
                <xdr:row>48</xdr:row>
                <xdr:rowOff>180975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</xdr:col>
                <xdr:colOff>9525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Safe Values</vt:lpstr>
      <vt:lpstr>HDD Motor</vt:lpstr>
      <vt:lpstr>2200KV Drone</vt:lpstr>
    </vt:vector>
  </TitlesOfParts>
  <Company>Microchip Technology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alexandru.zirnea@microchip.com</dc:creator>
  <cp:lastModifiedBy>Alexandru Zirnea - M51755</cp:lastModifiedBy>
  <dcterms:created xsi:type="dcterms:W3CDTF">2011-12-09T13:22:31Z</dcterms:created>
  <dcterms:modified xsi:type="dcterms:W3CDTF">2020-12-08T13:04:15Z</dcterms:modified>
</cp:coreProperties>
</file>